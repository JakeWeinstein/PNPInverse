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Parameters 6-26" sheetId="1" r:id="rId5"/>
    <sheet state="visible" name="Parameters" sheetId="2" r:id="rId6"/>
    <sheet state="visible" name="Initial Conditions" sheetId="3" r:id="rId7"/>
    <sheet state="visible" name="Steady State Est" sheetId="4" r:id="rId8"/>
  </sheets>
  <definedNames>
    <definedName hidden="1" localSheetId="0" name="_xlnm._FilterDatabase">'New Parameters 6-26'!$A$35:$F$43</definedName>
  </definedNames>
  <calcPr/>
</workbook>
</file>

<file path=xl/sharedStrings.xml><?xml version="1.0" encoding="utf-8"?>
<sst xmlns="http://schemas.openxmlformats.org/spreadsheetml/2006/main" count="81" uniqueCount="64">
  <si>
    <t>Overpotentials for model: calculated from 0.695 V vs RHE for hydrogen peroxide onset</t>
  </si>
  <si>
    <t>Potential (V vs RHE)</t>
  </si>
  <si>
    <t>Overpotential (V)</t>
  </si>
  <si>
    <t>Cation Identity</t>
  </si>
  <si>
    <t>Bulk pH</t>
  </si>
  <si>
    <t>Local pH</t>
  </si>
  <si>
    <t>Exchange Current Density (mA/cm2)</t>
  </si>
  <si>
    <t>Tafel Slopes (mV/dec) or (mV/pH)</t>
  </si>
  <si>
    <t>0.1 M Li2SO4</t>
  </si>
  <si>
    <t>j0</t>
  </si>
  <si>
    <t>mA cm-2</t>
  </si>
  <si>
    <t>A</t>
  </si>
  <si>
    <t>mV dec-1</t>
  </si>
  <si>
    <t>n</t>
  </si>
  <si>
    <t>V</t>
  </si>
  <si>
    <t>0.1 M Na2SO4</t>
  </si>
  <si>
    <t>0.1 M K2SO4</t>
  </si>
  <si>
    <t>0.1 M Cs2SO4</t>
  </si>
  <si>
    <t>* not sure about this one</t>
  </si>
  <si>
    <t>H+</t>
  </si>
  <si>
    <t>OH-</t>
  </si>
  <si>
    <t>SO4(2-)</t>
  </si>
  <si>
    <t>O2</t>
  </si>
  <si>
    <t>H2O2</t>
  </si>
  <si>
    <t>Bulk Concentration</t>
  </si>
  <si>
    <t>Charges</t>
  </si>
  <si>
    <t>effective solvated diameter (nm)</t>
  </si>
  <si>
    <t>Sphere Volume (nm^3)</t>
  </si>
  <si>
    <t>Cubic Volume (nm^3)</t>
  </si>
  <si>
    <t>ionic density (mA cm-2)</t>
  </si>
  <si>
    <t>-</t>
  </si>
  <si>
    <t>diffusivity (10-9 m2/s)</t>
  </si>
  <si>
    <t>Li+</t>
  </si>
  <si>
    <t>Na+</t>
  </si>
  <si>
    <t>K+</t>
  </si>
  <si>
    <t>Cs+</t>
  </si>
  <si>
    <t>Diffusion coefficient (m2/sec)</t>
  </si>
  <si>
    <t>Parameters</t>
  </si>
  <si>
    <t>Mobility (m^2/(V*s))</t>
  </si>
  <si>
    <t>REFERENCE</t>
  </si>
  <si>
    <t>*Fuel Cell Fundamentals - Prinz</t>
  </si>
  <si>
    <t>Fundamentals of Electrochemical Science By Keith Oldham, Jan Myland</t>
  </si>
  <si>
    <t>Elements of Physical Chemistry By Peter Atkins, Julio de Paula</t>
  </si>
  <si>
    <t>Rb+</t>
  </si>
  <si>
    <t>Diffusion Coeff (cm2/sec)</t>
  </si>
  <si>
    <t>In respective solution</t>
  </si>
  <si>
    <t>source: PEM Fuel Cell Electrocatalysts and Catalyst Layers</t>
  </si>
  <si>
    <t>1.4-1.6E-05</t>
  </si>
  <si>
    <t>H2SO4-HClO4</t>
  </si>
  <si>
    <t>H2O</t>
  </si>
  <si>
    <t>H2SO4</t>
  </si>
  <si>
    <t>Other parameters</t>
  </si>
  <si>
    <t>Electrical permittivity</t>
  </si>
  <si>
    <t>Voltage ranges</t>
  </si>
  <si>
    <t>CV: 1.1-0.05 V (disk vs RHE), CA: 1.2V (ring vs RHE)</t>
  </si>
  <si>
    <t>Initial Conditions for all X (distances from catalyst surface)</t>
  </si>
  <si>
    <t>pH</t>
  </si>
  <si>
    <t>conc H+ (M)</t>
  </si>
  <si>
    <t>conc OH- (M)</t>
  </si>
  <si>
    <t>pOH</t>
  </si>
  <si>
    <t>conc K+ (or Na+ or Cs+...)</t>
  </si>
  <si>
    <t>conc SO4 2-</t>
  </si>
  <si>
    <t>conc O2 (M)</t>
  </si>
  <si>
    <t>(saturation limit in H2O at 20C)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</si>
</sst>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0.0E+00"/>
    <numFmt numFmtId="166" formatCode="0E+00"/>
    <numFmt numFmtId="167" formatCode="0.0000E+00"/>
    <numFmt numFmtId="168" formatCode="0.00000E+00"/>
  </numFmts>
  <fonts count="15">
    <font>
      <sz val="10.0"/>
      <color rgb="FF000000"/>
      <name val="Arial"/>
      <scheme val="minor"/>
    </font>
    <font>
      <b/>
      <i/>
      <color rgb="FF222222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sz val="8.0"/>
      <color rgb="FF333333"/>
      <name val="Arial"/>
    </font>
    <font>
      <b/>
      <i/>
      <color theme="1"/>
      <name val="Arial"/>
      <scheme val="minor"/>
    </font>
    <font>
      <sz val="11.0"/>
      <color rgb="FF000000"/>
      <name val="Arial"/>
    </font>
    <font>
      <color theme="1"/>
      <name val="Arial"/>
    </font>
    <font>
      <b/>
      <sz val="11.0"/>
      <color rgb="FF000000"/>
      <name val="Arial"/>
    </font>
    <font>
      <sz val="11.0"/>
      <color rgb="FFB7B7B7"/>
      <name val="Arial"/>
    </font>
    <font>
      <sz val="11.0"/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5" fillId="0" fontId="3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 readingOrder="0"/>
    </xf>
    <xf borderId="7" fillId="3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readingOrder="0"/>
    </xf>
    <xf borderId="7" fillId="3" fontId="4" numFmtId="0" xfId="0" applyAlignment="1" applyBorder="1" applyFont="1">
      <alignment horizontal="center" readingOrder="0" shrinkToFit="0" wrapText="1"/>
    </xf>
    <xf borderId="2" fillId="3" fontId="4" numFmtId="0" xfId="0" applyAlignment="1" applyBorder="1" applyFont="1">
      <alignment horizontal="center" readingOrder="0" shrinkToFit="0" wrapText="1"/>
    </xf>
    <xf borderId="8" fillId="3" fontId="3" numFmtId="0" xfId="0" applyAlignment="1" applyBorder="1" applyFont="1">
      <alignment horizontal="center" readingOrder="0"/>
    </xf>
    <xf borderId="9" fillId="3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9" fillId="3" fontId="3" numFmtId="11" xfId="0" applyAlignment="1" applyBorder="1" applyFont="1" applyNumberFormat="1">
      <alignment horizontal="center" readingOrder="0"/>
    </xf>
    <xf borderId="10" fillId="3" fontId="3" numFmtId="0" xfId="0" applyAlignment="1" applyBorder="1" applyFont="1">
      <alignment horizontal="center" readingOrder="0"/>
    </xf>
    <xf borderId="3" fillId="0" fontId="2" numFmtId="0" xfId="0" applyBorder="1" applyFont="1"/>
    <xf borderId="0" fillId="3" fontId="3" numFmtId="0" xfId="0" applyAlignment="1" applyFont="1">
      <alignment horizontal="center" readingOrder="0"/>
    </xf>
    <xf borderId="0" fillId="3" fontId="3" numFmtId="11" xfId="0" applyAlignment="1" applyFont="1" applyNumberFormat="1">
      <alignment horizontal="center" readingOrder="0"/>
    </xf>
    <xf borderId="4" fillId="3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readingOrder="0"/>
    </xf>
    <xf borderId="11" fillId="3" fontId="3" numFmtId="0" xfId="0" applyAlignment="1" applyBorder="1" applyFont="1">
      <alignment horizontal="center" readingOrder="0"/>
    </xf>
    <xf borderId="11" fillId="0" fontId="3" numFmtId="0" xfId="0" applyAlignment="1" applyBorder="1" applyFont="1">
      <alignment readingOrder="0"/>
    </xf>
    <xf borderId="11" fillId="3" fontId="3" numFmtId="11" xfId="0" applyAlignment="1" applyBorder="1" applyFont="1" applyNumberFormat="1">
      <alignment horizontal="center" readingOrder="0"/>
    </xf>
    <xf borderId="6" fillId="3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 shrinkToFit="0" wrapText="1"/>
    </xf>
    <xf borderId="8" fillId="0" fontId="3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 readingOrder="0"/>
    </xf>
    <xf borderId="9" fillId="4" fontId="4" numFmtId="0" xfId="0" applyAlignment="1" applyBorder="1" applyFill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0" fillId="0" fontId="3" numFmtId="11" xfId="0" applyAlignment="1" applyFont="1" applyNumberFormat="1">
      <alignment horizontal="center" readingOrder="0"/>
    </xf>
    <xf borderId="0" fillId="4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 shrinkToFit="0" wrapText="1"/>
    </xf>
    <xf borderId="3" fillId="0" fontId="3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4" fontId="3" numFmtId="164" xfId="0" applyAlignment="1" applyFont="1" applyNumberFormat="1">
      <alignment horizontal="center"/>
    </xf>
    <xf borderId="3" fillId="0" fontId="3" numFmtId="4" xfId="0" applyAlignment="1" applyBorder="1" applyFont="1" applyNumberFormat="1">
      <alignment horizontal="center" readingOrder="0"/>
    </xf>
    <xf borderId="11" fillId="0" fontId="3" numFmtId="0" xfId="0" applyAlignment="1" applyBorder="1" applyFont="1">
      <alignment horizontal="center" readingOrder="0"/>
    </xf>
    <xf borderId="11" fillId="4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4" fillId="0" fontId="3" numFmtId="164" xfId="0" applyAlignment="1" applyBorder="1" applyFont="1" applyNumberFormat="1">
      <alignment horizontal="center"/>
    </xf>
    <xf borderId="3" fillId="0" fontId="3" numFmtId="11" xfId="0" applyAlignment="1" applyBorder="1" applyFont="1" applyNumberFormat="1">
      <alignment horizontal="center" readingOrder="0"/>
    </xf>
    <xf borderId="4" fillId="0" fontId="3" numFmtId="11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11" xfId="0" applyAlignment="1" applyFont="1" applyNumberForma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0" fontId="3" numFmtId="11" xfId="0" applyAlignment="1" applyFont="1" applyNumberForma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Font="1"/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165" xfId="0" applyAlignment="1" applyFont="1" applyNumberFormat="1">
      <alignment horizontal="right" readingOrder="0" shrinkToFit="0" vertical="bottom" wrapText="0"/>
    </xf>
    <xf borderId="0" fillId="0" fontId="8" numFmtId="11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165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165" xfId="0" applyAlignment="1" applyFont="1" applyNumberFormat="1">
      <alignment horizontal="right" readingOrder="0" shrinkToFit="0" vertical="bottom" wrapText="0"/>
    </xf>
    <xf borderId="0" fillId="0" fontId="8" numFmtId="166" xfId="0" applyAlignment="1" applyFont="1" applyNumberFormat="1">
      <alignment horizontal="right" readingOrder="0" shrinkToFit="0" vertical="bottom" wrapText="0"/>
    </xf>
    <xf borderId="0" fillId="0" fontId="10" numFmtId="11" xfId="0" applyAlignment="1" applyFont="1" applyNumberFormat="1">
      <alignment horizontal="right" readingOrder="0" shrinkToFit="0" vertical="bottom" wrapText="0"/>
    </xf>
    <xf borderId="0" fillId="0" fontId="10" numFmtId="167" xfId="0" applyAlignment="1" applyFont="1" applyNumberFormat="1">
      <alignment horizontal="right" readingOrder="0" shrinkToFit="0" vertical="bottom" wrapText="0"/>
    </xf>
    <xf borderId="0" fillId="0" fontId="8" numFmtId="167" xfId="0" applyAlignment="1" applyFont="1" applyNumberFormat="1">
      <alignment horizontal="right" readingOrder="0" shrinkToFit="0" vertical="bottom" wrapText="0"/>
    </xf>
    <xf borderId="0" fillId="0" fontId="11" numFmtId="168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14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18</xdr:row>
      <xdr:rowOff>28575</xdr:rowOff>
    </xdr:from>
    <xdr:ext cx="2695575" cy="22479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18</xdr:row>
      <xdr:rowOff>161925</xdr:rowOff>
    </xdr:from>
    <xdr:ext cx="2162175" cy="22479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0.38"/>
  </cols>
  <sheetData>
    <row r="2">
      <c r="A2" s="1" t="s">
        <v>0</v>
      </c>
      <c r="B2" s="2"/>
    </row>
    <row r="3">
      <c r="A3" s="3" t="s">
        <v>1</v>
      </c>
      <c r="B3" s="4" t="s">
        <v>2</v>
      </c>
    </row>
    <row r="4">
      <c r="A4" s="3">
        <v>0.595</v>
      </c>
      <c r="B4" s="5">
        <f t="shared" ref="B4:B10" si="1">0.695-A4</f>
        <v>0.1</v>
      </c>
    </row>
    <row r="5">
      <c r="A5" s="3">
        <v>0.495</v>
      </c>
      <c r="B5" s="5">
        <f t="shared" si="1"/>
        <v>0.2</v>
      </c>
    </row>
    <row r="6">
      <c r="A6" s="3">
        <v>0.395</v>
      </c>
      <c r="B6" s="5">
        <f t="shared" si="1"/>
        <v>0.3</v>
      </c>
    </row>
    <row r="7">
      <c r="A7" s="3">
        <v>0.295</v>
      </c>
      <c r="B7" s="5">
        <f t="shared" si="1"/>
        <v>0.4</v>
      </c>
    </row>
    <row r="8">
      <c r="A8" s="3">
        <v>0.195</v>
      </c>
      <c r="B8" s="5">
        <f t="shared" si="1"/>
        <v>0.5</v>
      </c>
    </row>
    <row r="9">
      <c r="A9" s="3">
        <v>0.0950000000000005</v>
      </c>
      <c r="B9" s="5">
        <f t="shared" si="1"/>
        <v>0.6</v>
      </c>
    </row>
    <row r="10">
      <c r="A10" s="6">
        <v>-0.00499999999999945</v>
      </c>
      <c r="B10" s="7">
        <f t="shared" si="1"/>
        <v>0.7</v>
      </c>
    </row>
    <row r="12">
      <c r="A12" s="8" t="s">
        <v>3</v>
      </c>
      <c r="B12" s="9" t="s">
        <v>4</v>
      </c>
      <c r="C12" s="10" t="s">
        <v>5</v>
      </c>
      <c r="D12" s="11" t="s">
        <v>6</v>
      </c>
      <c r="E12" s="12" t="s">
        <v>7</v>
      </c>
    </row>
    <row r="13">
      <c r="A13" s="13" t="s">
        <v>8</v>
      </c>
      <c r="B13" s="14">
        <v>2.0</v>
      </c>
      <c r="C13" s="15">
        <v>2.7</v>
      </c>
      <c r="D13" s="16">
        <v>0.102</v>
      </c>
      <c r="E13" s="17">
        <v>140.0</v>
      </c>
    </row>
    <row r="14">
      <c r="A14" s="18"/>
      <c r="B14" s="19">
        <v>4.0</v>
      </c>
      <c r="C14" s="15">
        <v>7.0</v>
      </c>
      <c r="D14" s="20">
        <v>0.00334</v>
      </c>
      <c r="E14" s="21">
        <v>59.0</v>
      </c>
    </row>
    <row r="15">
      <c r="A15" s="18"/>
      <c r="B15" s="19">
        <v>6.0</v>
      </c>
      <c r="C15" s="15">
        <v>9.9</v>
      </c>
      <c r="D15" s="20">
        <v>0.00138</v>
      </c>
      <c r="E15" s="21">
        <v>62.0</v>
      </c>
      <c r="G15" s="15" t="s">
        <v>9</v>
      </c>
      <c r="H15" s="15">
        <v>0.1</v>
      </c>
      <c r="I15" s="15" t="s">
        <v>10</v>
      </c>
    </row>
    <row r="16">
      <c r="A16" s="18"/>
      <c r="B16" s="19">
        <v>10.0</v>
      </c>
      <c r="C16" s="15">
        <v>10.8</v>
      </c>
      <c r="D16" s="20">
        <v>0.00131</v>
      </c>
      <c r="E16" s="21">
        <v>98.0</v>
      </c>
      <c r="G16" s="15" t="s">
        <v>11</v>
      </c>
      <c r="H16" s="15">
        <v>140.0</v>
      </c>
      <c r="I16" s="15" t="s">
        <v>12</v>
      </c>
    </row>
    <row r="17">
      <c r="A17" s="18"/>
      <c r="B17" s="19">
        <v>12.0</v>
      </c>
      <c r="C17" s="15">
        <v>11.6</v>
      </c>
      <c r="D17" s="20">
        <v>6.43E-5</v>
      </c>
      <c r="E17" s="21">
        <v>81.0</v>
      </c>
      <c r="G17" s="15" t="s">
        <v>13</v>
      </c>
      <c r="H17" s="15">
        <v>0.5</v>
      </c>
      <c r="I17" s="15" t="s">
        <v>14</v>
      </c>
    </row>
    <row r="18">
      <c r="A18" s="13" t="s">
        <v>15</v>
      </c>
      <c r="B18" s="14">
        <v>2.0</v>
      </c>
      <c r="C18" s="22">
        <v>2.3</v>
      </c>
      <c r="D18" s="16">
        <v>0.0871</v>
      </c>
      <c r="E18" s="17">
        <v>108.0</v>
      </c>
    </row>
    <row r="19">
      <c r="A19" s="18"/>
      <c r="B19" s="19">
        <v>4.0</v>
      </c>
      <c r="C19" s="15">
        <v>6.0</v>
      </c>
      <c r="D19" s="20">
        <v>4.1E-4</v>
      </c>
      <c r="E19" s="21">
        <v>42.0</v>
      </c>
    </row>
    <row r="20">
      <c r="A20" s="18"/>
      <c r="B20" s="19">
        <v>6.0</v>
      </c>
      <c r="C20" s="15">
        <v>9.8</v>
      </c>
      <c r="D20" s="20">
        <v>0.00156</v>
      </c>
      <c r="E20" s="21">
        <v>65.0</v>
      </c>
    </row>
    <row r="21">
      <c r="A21" s="18"/>
      <c r="B21" s="19">
        <v>10.0</v>
      </c>
      <c r="C21" s="15">
        <v>10.9</v>
      </c>
      <c r="D21" s="20">
        <v>3.52E-4</v>
      </c>
      <c r="E21" s="21">
        <v>80.0</v>
      </c>
    </row>
    <row r="22">
      <c r="A22" s="18"/>
      <c r="B22" s="23">
        <v>12.0</v>
      </c>
      <c r="C22" s="24">
        <v>11.6</v>
      </c>
      <c r="D22" s="25">
        <v>1.02E-4</v>
      </c>
      <c r="E22" s="26">
        <v>83.0</v>
      </c>
    </row>
    <row r="23">
      <c r="A23" s="13" t="s">
        <v>16</v>
      </c>
      <c r="B23" s="14">
        <v>2.0</v>
      </c>
      <c r="C23" s="15">
        <v>2.2</v>
      </c>
      <c r="D23" s="16">
        <v>0.0485</v>
      </c>
      <c r="E23" s="17">
        <v>132.0</v>
      </c>
    </row>
    <row r="24">
      <c r="A24" s="18"/>
      <c r="B24" s="19">
        <v>4.0</v>
      </c>
      <c r="C24" s="15">
        <v>5.2</v>
      </c>
      <c r="D24" s="20">
        <v>0.00283</v>
      </c>
      <c r="E24" s="21">
        <v>56.0</v>
      </c>
    </row>
    <row r="25">
      <c r="A25" s="18"/>
      <c r="B25" s="19">
        <v>6.0</v>
      </c>
      <c r="C25" s="15">
        <v>9.9</v>
      </c>
      <c r="D25" s="20">
        <v>1.77E-4</v>
      </c>
      <c r="E25" s="21">
        <v>46.0</v>
      </c>
    </row>
    <row r="26">
      <c r="A26" s="18"/>
      <c r="B26" s="19">
        <v>10.0</v>
      </c>
      <c r="C26" s="15">
        <v>9.7</v>
      </c>
      <c r="D26" s="20">
        <v>7.56E-5</v>
      </c>
      <c r="E26" s="21">
        <v>67.0</v>
      </c>
    </row>
    <row r="27">
      <c r="A27" s="18"/>
      <c r="B27" s="23">
        <v>12.0</v>
      </c>
      <c r="C27" s="15">
        <v>11.8</v>
      </c>
      <c r="D27" s="25">
        <v>1.02E-5</v>
      </c>
      <c r="E27" s="26">
        <v>66.0</v>
      </c>
    </row>
    <row r="28">
      <c r="A28" s="13" t="s">
        <v>17</v>
      </c>
      <c r="B28" s="14">
        <v>2.0</v>
      </c>
      <c r="C28" s="22">
        <v>2.4</v>
      </c>
      <c r="D28" s="16">
        <v>0.089</v>
      </c>
      <c r="E28" s="17">
        <v>136.0</v>
      </c>
    </row>
    <row r="29">
      <c r="A29" s="18"/>
      <c r="B29" s="19">
        <v>4.0</v>
      </c>
      <c r="C29" s="15">
        <v>5.0</v>
      </c>
      <c r="D29" s="20">
        <v>2.33E-4</v>
      </c>
      <c r="E29" s="21">
        <v>41.0</v>
      </c>
    </row>
    <row r="30">
      <c r="A30" s="18"/>
      <c r="B30" s="19">
        <v>6.0</v>
      </c>
      <c r="C30" s="15">
        <v>9.9</v>
      </c>
      <c r="D30" s="20">
        <v>2.28E-4</v>
      </c>
      <c r="E30" s="21">
        <v>54.0</v>
      </c>
    </row>
    <row r="31">
      <c r="A31" s="18"/>
      <c r="B31" s="19">
        <v>10.0</v>
      </c>
      <c r="C31" s="15">
        <v>10.4</v>
      </c>
      <c r="D31" s="20">
        <v>7.57E-6</v>
      </c>
      <c r="E31" s="21">
        <v>56.0</v>
      </c>
    </row>
    <row r="32">
      <c r="A32" s="18"/>
      <c r="B32" s="23">
        <v>12.0</v>
      </c>
      <c r="C32" s="24">
        <v>11.0</v>
      </c>
      <c r="D32" s="25">
        <v>2.3E-7</v>
      </c>
      <c r="E32" s="26">
        <v>50.0</v>
      </c>
    </row>
    <row r="35">
      <c r="D35" s="27" t="s">
        <v>18</v>
      </c>
    </row>
    <row r="36">
      <c r="A36" s="28"/>
      <c r="B36" s="29" t="s">
        <v>19</v>
      </c>
      <c r="C36" s="30" t="s">
        <v>20</v>
      </c>
      <c r="D36" s="31" t="s">
        <v>21</v>
      </c>
      <c r="E36" s="30" t="s">
        <v>22</v>
      </c>
      <c r="F36" s="32" t="s">
        <v>23</v>
      </c>
    </row>
    <row r="37">
      <c r="A37" s="3" t="s">
        <v>24</v>
      </c>
      <c r="B37" s="3">
        <v>0.1</v>
      </c>
      <c r="C37" s="33">
        <v>1.0E-13</v>
      </c>
      <c r="D37" s="34">
        <v>0.1</v>
      </c>
      <c r="E37" s="35">
        <v>5.0E-4</v>
      </c>
      <c r="F37" s="36">
        <v>0.0</v>
      </c>
    </row>
    <row r="38">
      <c r="A38" s="3" t="s">
        <v>25</v>
      </c>
      <c r="B38" s="3">
        <v>1.0</v>
      </c>
      <c r="C38" s="35">
        <v>-1.0</v>
      </c>
      <c r="D38" s="34">
        <v>-2.0</v>
      </c>
      <c r="E38" s="35">
        <v>0.0</v>
      </c>
      <c r="F38" s="36">
        <v>0.0</v>
      </c>
    </row>
    <row r="39">
      <c r="A39" s="37" t="s">
        <v>26</v>
      </c>
      <c r="B39" s="3">
        <v>0.56</v>
      </c>
      <c r="C39" s="35">
        <v>0.6</v>
      </c>
      <c r="D39" s="34">
        <v>1.466</v>
      </c>
      <c r="E39" s="35"/>
      <c r="F39" s="36"/>
    </row>
    <row r="40">
      <c r="A40" s="3" t="s">
        <v>27</v>
      </c>
      <c r="B40" s="38">
        <f t="shared" ref="B40:E40" si="2">(4/3)*pi()*(B39/2)^3</f>
        <v>0.09195232258</v>
      </c>
      <c r="C40" s="39">
        <f t="shared" si="2"/>
        <v>0.1130973355</v>
      </c>
      <c r="D40" s="40">
        <f t="shared" si="2"/>
        <v>1.64968313</v>
      </c>
      <c r="E40" s="39">
        <f t="shared" si="2"/>
        <v>0</v>
      </c>
      <c r="F40" s="36">
        <v>0.512</v>
      </c>
    </row>
    <row r="41">
      <c r="A41" s="37" t="s">
        <v>28</v>
      </c>
      <c r="B41" s="41">
        <f t="shared" ref="B41:D41" si="3">(B39)^3</f>
        <v>0.175616</v>
      </c>
      <c r="C41" s="41">
        <f t="shared" si="3"/>
        <v>0.216</v>
      </c>
      <c r="D41" s="41">
        <f t="shared" si="3"/>
        <v>3.150662696</v>
      </c>
      <c r="E41" s="41"/>
      <c r="F41" s="41"/>
    </row>
    <row r="42">
      <c r="A42" s="3" t="s">
        <v>29</v>
      </c>
      <c r="B42" s="3">
        <v>-1.0</v>
      </c>
      <c r="C42" s="35" t="s">
        <v>30</v>
      </c>
      <c r="D42" s="34" t="s">
        <v>30</v>
      </c>
      <c r="E42" s="35">
        <v>-0.5</v>
      </c>
      <c r="F42" s="36">
        <v>0.5</v>
      </c>
    </row>
    <row r="43">
      <c r="A43" s="6" t="s">
        <v>31</v>
      </c>
      <c r="B43" s="6">
        <v>9.311</v>
      </c>
      <c r="C43" s="42">
        <v>5.273</v>
      </c>
      <c r="D43" s="43" t="s">
        <v>30</v>
      </c>
      <c r="E43" s="42">
        <v>1.5</v>
      </c>
      <c r="F43" s="44">
        <v>1.6</v>
      </c>
    </row>
    <row r="45">
      <c r="A45" s="28"/>
      <c r="B45" s="29" t="s">
        <v>32</v>
      </c>
      <c r="C45" s="30" t="s">
        <v>33</v>
      </c>
      <c r="D45" s="30" t="s">
        <v>34</v>
      </c>
      <c r="E45" s="32" t="s">
        <v>35</v>
      </c>
    </row>
    <row r="46">
      <c r="A46" s="3" t="s">
        <v>24</v>
      </c>
      <c r="B46" s="3">
        <v>0.1</v>
      </c>
      <c r="C46" s="35">
        <v>0.1</v>
      </c>
      <c r="D46" s="35">
        <v>0.1</v>
      </c>
      <c r="E46" s="36">
        <v>0.1</v>
      </c>
    </row>
    <row r="47">
      <c r="A47" s="3" t="s">
        <v>25</v>
      </c>
      <c r="B47" s="3">
        <v>1.0</v>
      </c>
      <c r="C47" s="35">
        <v>1.0</v>
      </c>
      <c r="D47" s="35">
        <v>1.0</v>
      </c>
      <c r="E47" s="36">
        <v>1.0</v>
      </c>
    </row>
    <row r="48">
      <c r="A48" s="37" t="s">
        <v>26</v>
      </c>
      <c r="B48" s="3">
        <v>0.764</v>
      </c>
      <c r="C48" s="35">
        <v>0.716</v>
      </c>
      <c r="D48" s="35">
        <v>0.662</v>
      </c>
      <c r="E48" s="36">
        <v>0.658</v>
      </c>
    </row>
    <row r="49">
      <c r="A49" s="3" t="s">
        <v>27</v>
      </c>
      <c r="B49" s="38">
        <f t="shared" ref="B49:E49" si="4">(4/3)*pi()*(B48/2)^3</f>
        <v>0.2334955983</v>
      </c>
      <c r="C49" s="39">
        <f t="shared" si="4"/>
        <v>0.1921930546</v>
      </c>
      <c r="D49" s="39">
        <f t="shared" si="4"/>
        <v>0.1519051824</v>
      </c>
      <c r="E49" s="45">
        <f t="shared" si="4"/>
        <v>0.1491682185</v>
      </c>
    </row>
    <row r="50">
      <c r="A50" s="37" t="s">
        <v>28</v>
      </c>
      <c r="B50" s="41">
        <f t="shared" ref="B50:E50" si="5">(B48)^3</f>
        <v>0.445943744</v>
      </c>
      <c r="C50" s="41">
        <f t="shared" si="5"/>
        <v>0.367061696</v>
      </c>
      <c r="D50" s="41">
        <f t="shared" si="5"/>
        <v>0.290117528</v>
      </c>
      <c r="E50" s="41">
        <f t="shared" si="5"/>
        <v>0.284890312</v>
      </c>
    </row>
    <row r="51">
      <c r="A51" s="37" t="s">
        <v>36</v>
      </c>
      <c r="B51" s="46">
        <v>1.029E-9</v>
      </c>
      <c r="C51" s="33">
        <v>1.334E-9</v>
      </c>
      <c r="D51" s="33">
        <v>1.957E-9</v>
      </c>
      <c r="E51" s="47">
        <v>2.06E-9</v>
      </c>
    </row>
    <row r="52">
      <c r="A52" s="6"/>
      <c r="B52" s="48"/>
      <c r="C52" s="49"/>
      <c r="D52" s="49"/>
      <c r="E52" s="50"/>
    </row>
  </sheetData>
  <autoFilter ref="$A$35:$F$43"/>
  <mergeCells count="5">
    <mergeCell ref="A2:B2"/>
    <mergeCell ref="A13:A17"/>
    <mergeCell ref="A18:A22"/>
    <mergeCell ref="A23:A27"/>
    <mergeCell ref="A28:A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2.5"/>
    <col customWidth="1" min="3" max="3" width="13.38"/>
    <col customWidth="1" min="4" max="4" width="13.75"/>
    <col customWidth="1" min="5" max="5" width="16.5"/>
  </cols>
  <sheetData>
    <row r="1">
      <c r="A1" s="51" t="s">
        <v>37</v>
      </c>
      <c r="B1" s="52" t="s">
        <v>38</v>
      </c>
      <c r="C1" s="52" t="s">
        <v>38</v>
      </c>
      <c r="D1" s="52" t="s">
        <v>38</v>
      </c>
    </row>
    <row r="2">
      <c r="A2" s="15" t="s">
        <v>39</v>
      </c>
      <c r="B2" s="53" t="s">
        <v>40</v>
      </c>
      <c r="C2" s="54" t="s">
        <v>41</v>
      </c>
      <c r="D2" s="54" t="s">
        <v>42</v>
      </c>
    </row>
    <row r="3">
      <c r="A3" s="15" t="s">
        <v>19</v>
      </c>
      <c r="B3" s="55">
        <v>3.63E-7</v>
      </c>
      <c r="C3" s="55">
        <v>3.625E-7</v>
      </c>
      <c r="D3" s="55">
        <v>3.623E-7</v>
      </c>
    </row>
    <row r="4">
      <c r="A4" s="15" t="s">
        <v>34</v>
      </c>
      <c r="B4" s="55">
        <v>7.62E-8</v>
      </c>
      <c r="C4" s="55">
        <v>7.62E-8</v>
      </c>
      <c r="D4" s="55">
        <v>7.62E-8</v>
      </c>
    </row>
    <row r="5">
      <c r="A5" s="15" t="s">
        <v>33</v>
      </c>
      <c r="B5" s="55">
        <v>5.19E-8</v>
      </c>
      <c r="C5" s="55">
        <v>5.19E-8</v>
      </c>
      <c r="D5" s="55">
        <v>5.19E-8</v>
      </c>
    </row>
    <row r="6">
      <c r="A6" s="15" t="s">
        <v>35</v>
      </c>
      <c r="D6" s="55">
        <v>8.0E-8</v>
      </c>
    </row>
    <row r="7">
      <c r="A7" s="15" t="s">
        <v>43</v>
      </c>
      <c r="D7" s="55">
        <v>8.06E-8</v>
      </c>
    </row>
    <row r="8">
      <c r="A8" s="15" t="s">
        <v>20</v>
      </c>
      <c r="B8" s="55">
        <v>2.05E-7</v>
      </c>
      <c r="C8" s="55">
        <v>2.048E-7</v>
      </c>
      <c r="D8" s="55">
        <v>2.064E-7</v>
      </c>
    </row>
    <row r="9">
      <c r="B9" s="15"/>
    </row>
    <row r="10">
      <c r="B10" s="52" t="s">
        <v>44</v>
      </c>
      <c r="C10" s="56" t="s">
        <v>45</v>
      </c>
    </row>
    <row r="11">
      <c r="A11" s="15" t="s">
        <v>39</v>
      </c>
      <c r="B11" s="53" t="s">
        <v>46</v>
      </c>
    </row>
    <row r="12">
      <c r="A12" s="15" t="s">
        <v>22</v>
      </c>
      <c r="B12" s="55" t="s">
        <v>47</v>
      </c>
      <c r="C12" s="15" t="s">
        <v>48</v>
      </c>
    </row>
    <row r="13">
      <c r="B13" s="55">
        <v>2.1E-5</v>
      </c>
      <c r="C13" s="15" t="s">
        <v>49</v>
      </c>
    </row>
    <row r="14">
      <c r="A14" s="15" t="s">
        <v>23</v>
      </c>
      <c r="B14" s="55">
        <v>1.6E-5</v>
      </c>
      <c r="C14" s="15" t="s">
        <v>50</v>
      </c>
    </row>
    <row r="16">
      <c r="A16" s="51" t="s">
        <v>51</v>
      </c>
    </row>
    <row r="17">
      <c r="A17" s="15" t="s">
        <v>52</v>
      </c>
    </row>
    <row r="18">
      <c r="A18" s="15" t="s">
        <v>53</v>
      </c>
      <c r="B18" s="15" t="s">
        <v>54</v>
      </c>
    </row>
  </sheetData>
  <mergeCells count="1">
    <mergeCell ref="B11:C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4" max="4" width="6.25"/>
    <col customWidth="1" min="6" max="6" width="22.88"/>
    <col customWidth="1" min="7" max="7" width="11.38"/>
  </cols>
  <sheetData>
    <row r="1">
      <c r="A1" s="57" t="s">
        <v>55</v>
      </c>
      <c r="B1" s="57"/>
      <c r="C1" s="58"/>
      <c r="D1" s="58"/>
      <c r="E1" s="58"/>
      <c r="F1" s="58"/>
      <c r="G1" s="58"/>
      <c r="H1" s="58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56</v>
      </c>
      <c r="B2" s="60" t="s">
        <v>57</v>
      </c>
      <c r="C2" s="60" t="s">
        <v>58</v>
      </c>
      <c r="D2" s="60" t="s">
        <v>59</v>
      </c>
      <c r="E2" s="58"/>
      <c r="F2" s="60" t="s">
        <v>60</v>
      </c>
      <c r="G2" s="60" t="s">
        <v>61</v>
      </c>
      <c r="I2" s="60" t="s">
        <v>62</v>
      </c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61">
        <v>0.0</v>
      </c>
      <c r="B3" s="62">
        <f t="shared" ref="B3:B17" si="1">10^(-A3)</f>
        <v>1</v>
      </c>
      <c r="C3" s="62">
        <f t="shared" ref="C3:C17" si="2">10^(-D3)</f>
        <v>0</v>
      </c>
      <c r="D3" s="61">
        <f t="shared" ref="D3:D17" si="3">14-A3</f>
        <v>14</v>
      </c>
      <c r="E3" s="58"/>
      <c r="F3" s="58"/>
      <c r="G3" s="58"/>
      <c r="H3" s="58"/>
      <c r="I3" s="63">
        <v>0.005</v>
      </c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64">
        <v>1.0</v>
      </c>
      <c r="B4" s="65">
        <f t="shared" si="1"/>
        <v>0.1</v>
      </c>
      <c r="C4" s="65">
        <f t="shared" si="2"/>
        <v>0</v>
      </c>
      <c r="D4" s="64">
        <f t="shared" si="3"/>
        <v>13</v>
      </c>
      <c r="E4" s="66"/>
      <c r="F4" s="65">
        <f t="shared" ref="F4:F17" si="4">0.2-B4</f>
        <v>0.1</v>
      </c>
      <c r="G4" s="64">
        <v>0.1</v>
      </c>
      <c r="H4" s="58"/>
      <c r="I4" s="57" t="s">
        <v>63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67">
        <v>2.0</v>
      </c>
      <c r="B5" s="68">
        <f t="shared" si="1"/>
        <v>0.01</v>
      </c>
      <c r="C5" s="68">
        <f t="shared" si="2"/>
        <v>0</v>
      </c>
      <c r="D5" s="67">
        <f t="shared" si="3"/>
        <v>12</v>
      </c>
      <c r="E5" s="58"/>
      <c r="F5" s="69">
        <f t="shared" si="4"/>
        <v>0.19</v>
      </c>
      <c r="G5" s="67">
        <v>0.1</v>
      </c>
      <c r="H5" s="58"/>
      <c r="I5" s="58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64">
        <v>3.0</v>
      </c>
      <c r="B6" s="65">
        <f t="shared" si="1"/>
        <v>0.001</v>
      </c>
      <c r="C6" s="65">
        <f t="shared" si="2"/>
        <v>0</v>
      </c>
      <c r="D6" s="64">
        <f t="shared" si="3"/>
        <v>11</v>
      </c>
      <c r="E6" s="66"/>
      <c r="F6" s="70">
        <f t="shared" si="4"/>
        <v>0.199</v>
      </c>
      <c r="G6" s="64">
        <v>0.1</v>
      </c>
      <c r="H6" s="58"/>
      <c r="I6" s="58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67">
        <v>4.0</v>
      </c>
      <c r="B7" s="68">
        <f t="shared" si="1"/>
        <v>0.0001</v>
      </c>
      <c r="C7" s="68">
        <f t="shared" si="2"/>
        <v>0.0000000001</v>
      </c>
      <c r="D7" s="67">
        <f t="shared" si="3"/>
        <v>10</v>
      </c>
      <c r="E7" s="58"/>
      <c r="F7" s="63">
        <f t="shared" si="4"/>
        <v>0.1999</v>
      </c>
      <c r="G7" s="67">
        <v>0.1</v>
      </c>
      <c r="H7" s="58"/>
      <c r="I7" s="58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64">
        <v>5.0</v>
      </c>
      <c r="B8" s="65">
        <f t="shared" si="1"/>
        <v>0.00001</v>
      </c>
      <c r="C8" s="65">
        <f t="shared" si="2"/>
        <v>0.000000001</v>
      </c>
      <c r="D8" s="64">
        <f t="shared" si="3"/>
        <v>9</v>
      </c>
      <c r="E8" s="66"/>
      <c r="F8" s="71">
        <f t="shared" si="4"/>
        <v>0.19999</v>
      </c>
      <c r="G8" s="64">
        <v>0.1</v>
      </c>
      <c r="H8" s="58"/>
      <c r="I8" s="58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67">
        <v>6.0</v>
      </c>
      <c r="B9" s="68">
        <f t="shared" si="1"/>
        <v>0.000001</v>
      </c>
      <c r="C9" s="68">
        <f t="shared" si="2"/>
        <v>0.00000001</v>
      </c>
      <c r="D9" s="67">
        <f t="shared" si="3"/>
        <v>8</v>
      </c>
      <c r="E9" s="58"/>
      <c r="F9" s="72">
        <f t="shared" si="4"/>
        <v>0.199999</v>
      </c>
      <c r="G9" s="67">
        <v>0.1</v>
      </c>
      <c r="H9" s="58"/>
      <c r="I9" s="5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61">
        <v>7.0</v>
      </c>
      <c r="B10" s="62">
        <f t="shared" si="1"/>
        <v>0.0000001</v>
      </c>
      <c r="C10" s="62">
        <f t="shared" si="2"/>
        <v>0.0000001</v>
      </c>
      <c r="D10" s="61">
        <f t="shared" si="3"/>
        <v>7</v>
      </c>
      <c r="E10" s="58"/>
      <c r="F10" s="73">
        <f t="shared" si="4"/>
        <v>0.1999999</v>
      </c>
      <c r="G10" s="61">
        <v>0.1</v>
      </c>
      <c r="H10" s="58"/>
      <c r="I10" s="58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61">
        <v>8.0</v>
      </c>
      <c r="B11" s="62">
        <f t="shared" si="1"/>
        <v>0.00000001</v>
      </c>
      <c r="C11" s="62">
        <f t="shared" si="2"/>
        <v>0.000001</v>
      </c>
      <c r="D11" s="61">
        <f t="shared" si="3"/>
        <v>6</v>
      </c>
      <c r="E11" s="58"/>
      <c r="F11" s="73">
        <f t="shared" si="4"/>
        <v>0.19999999</v>
      </c>
      <c r="G11" s="61">
        <v>0.1</v>
      </c>
      <c r="H11" s="58"/>
      <c r="I11" s="58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61">
        <v>9.0</v>
      </c>
      <c r="B12" s="62">
        <f t="shared" si="1"/>
        <v>0.000000001</v>
      </c>
      <c r="C12" s="62">
        <f t="shared" si="2"/>
        <v>0.00001</v>
      </c>
      <c r="D12" s="61">
        <f t="shared" si="3"/>
        <v>5</v>
      </c>
      <c r="E12" s="58"/>
      <c r="F12" s="73">
        <f t="shared" si="4"/>
        <v>0.199999999</v>
      </c>
      <c r="G12" s="61">
        <v>0.1</v>
      </c>
      <c r="H12" s="58"/>
      <c r="I12" s="58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61">
        <v>10.0</v>
      </c>
      <c r="B13" s="62">
        <f t="shared" si="1"/>
        <v>0.0000000001</v>
      </c>
      <c r="C13" s="62">
        <f t="shared" si="2"/>
        <v>0.0001</v>
      </c>
      <c r="D13" s="61">
        <f t="shared" si="3"/>
        <v>4</v>
      </c>
      <c r="E13" s="58"/>
      <c r="F13" s="73">
        <f t="shared" si="4"/>
        <v>0.1999999999</v>
      </c>
      <c r="G13" s="61">
        <v>0.1</v>
      </c>
      <c r="H13" s="58"/>
      <c r="I13" s="58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61">
        <v>11.0</v>
      </c>
      <c r="B14" s="62">
        <f t="shared" si="1"/>
        <v>0</v>
      </c>
      <c r="C14" s="62">
        <f t="shared" si="2"/>
        <v>0.001</v>
      </c>
      <c r="D14" s="61">
        <f t="shared" si="3"/>
        <v>3</v>
      </c>
      <c r="E14" s="58"/>
      <c r="F14" s="73">
        <f t="shared" si="4"/>
        <v>0.2</v>
      </c>
      <c r="G14" s="61">
        <v>0.1</v>
      </c>
      <c r="H14" s="58"/>
      <c r="I14" s="58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61">
        <v>12.0</v>
      </c>
      <c r="B15" s="62">
        <f t="shared" si="1"/>
        <v>0</v>
      </c>
      <c r="C15" s="62">
        <f t="shared" si="2"/>
        <v>0.01</v>
      </c>
      <c r="D15" s="61">
        <f t="shared" si="3"/>
        <v>2</v>
      </c>
      <c r="E15" s="58"/>
      <c r="F15" s="73">
        <f t="shared" si="4"/>
        <v>0.2</v>
      </c>
      <c r="G15" s="61">
        <v>0.1</v>
      </c>
      <c r="H15" s="58"/>
      <c r="I15" s="58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61">
        <v>13.0</v>
      </c>
      <c r="B16" s="62">
        <f t="shared" si="1"/>
        <v>0</v>
      </c>
      <c r="C16" s="62">
        <f t="shared" si="2"/>
        <v>0.1</v>
      </c>
      <c r="D16" s="61">
        <f t="shared" si="3"/>
        <v>1</v>
      </c>
      <c r="E16" s="58"/>
      <c r="F16" s="73">
        <f t="shared" si="4"/>
        <v>0.2</v>
      </c>
      <c r="G16" s="61">
        <v>0.1</v>
      </c>
      <c r="H16" s="58"/>
      <c r="I16" s="58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61">
        <v>14.0</v>
      </c>
      <c r="B17" s="62">
        <f t="shared" si="1"/>
        <v>0</v>
      </c>
      <c r="C17" s="62">
        <f t="shared" si="2"/>
        <v>1</v>
      </c>
      <c r="D17" s="61">
        <f t="shared" si="3"/>
        <v>0</v>
      </c>
      <c r="E17" s="58"/>
      <c r="F17" s="73">
        <f t="shared" si="4"/>
        <v>0.2</v>
      </c>
      <c r="G17" s="61">
        <v>0.1</v>
      </c>
      <c r="H17" s="58"/>
      <c r="I17" s="58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9"/>
      <c r="B20" s="74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59"/>
      <c r="B21" s="74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59"/>
      <c r="B22" s="74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59"/>
      <c r="B23" s="74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1">
    <mergeCell ref="G2:H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4.13"/>
    <col customWidth="1" min="3" max="3" width="7.5"/>
  </cols>
  <sheetData>
    <row r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>
      <c r="A2" s="76"/>
      <c r="B2" s="76"/>
      <c r="C2" s="77"/>
      <c r="D2" s="77"/>
      <c r="E2" s="77"/>
      <c r="F2" s="77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</row>
    <row r="3">
      <c r="A3" s="76"/>
      <c r="B3" s="75"/>
      <c r="C3" s="75"/>
      <c r="D3" s="75"/>
      <c r="E3" s="75"/>
      <c r="F3" s="78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</row>
    <row r="4">
      <c r="A4" s="76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</row>
    <row r="5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</row>
    <row r="6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</row>
    <row r="7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</row>
    <row r="8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</row>
    <row r="9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</row>
    <row r="10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</row>
    <row r="1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</row>
    <row r="12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</row>
    <row r="13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</row>
    <row r="14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</row>
    <row r="1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</row>
    <row r="16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</row>
    <row r="17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</row>
    <row r="18">
      <c r="A18" s="75"/>
      <c r="B18" s="75"/>
      <c r="C18" s="75"/>
      <c r="D18" s="75"/>
      <c r="E18" s="76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</row>
    <row r="19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</row>
    <row r="20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</row>
    <row r="2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</row>
    <row r="22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</row>
    <row r="23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</row>
    <row r="24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</row>
    <row r="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</row>
    <row r="26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</row>
    <row r="27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</row>
    <row r="28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</row>
    <row r="29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</row>
    <row r="30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</row>
    <row r="3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</row>
    <row r="3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</row>
    <row r="33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</row>
    <row r="3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</row>
    <row r="37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</row>
    <row r="40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</row>
    <row r="4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</row>
    <row r="4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</row>
    <row r="4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</row>
    <row r="47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</row>
    <row r="4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</row>
    <row r="49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</row>
    <row r="50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</row>
    <row r="5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</row>
    <row r="5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</row>
    <row r="5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  <c r="AB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  <c r="AB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  <c r="AB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  <c r="AB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  <c r="AB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  <c r="AB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  <c r="AA999" s="75"/>
      <c r="AB999" s="75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  <c r="AB1000" s="75"/>
    </row>
  </sheetData>
  <drawing r:id="rId1"/>
</worksheet>
</file>